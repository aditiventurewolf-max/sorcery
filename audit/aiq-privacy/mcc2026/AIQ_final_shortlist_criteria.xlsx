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s &amp; Method" sheetId="1" state="visible" r:id="rId1"/>
    <sheet name="Final shortlist" sheetId="2" state="visible" r:id="rId2"/>
    <sheet name="Verification evidence" sheetId="3" state="visible" r:id="rId3"/>
    <sheet name="FAILED - avoi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9" fontId="0" fillId="0" borderId="0" pivotButton="0" quotePrefix="0" xfId="0"/>
    <xf numFmtId="0" fontId="3" fillId="0" borderId="0" pivotButton="0" quotePrefix="0" xfId="0"/>
    <xf numFmtId="9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26" customWidth="1" min="3" max="3"/>
  </cols>
  <sheetData>
    <row r="1">
      <c r="A1" s="1" t="inlineStr">
        <is>
          <t>Weights — edit column B, the shortlist score recalculates</t>
        </is>
      </c>
    </row>
    <row r="3">
      <c r="A3" t="inlineStr">
        <is>
          <t>Scoring: every score column is 1-5 where 5 = best for you.</t>
        </is>
      </c>
    </row>
    <row r="4">
      <c r="A4" t="inlineStr">
        <is>
          <t>Staleness 5 = site is most neglected. Distance 5 = farthest from Lucknow. Fee 5 = cheapest.</t>
        </is>
      </c>
    </row>
    <row r="5">
      <c r="A5" t="inlineStr">
        <is>
          <t>Connectivity 5 = airport within a 1-2 hr train/bus hop, per your "flight + 1-2 hrs" rule.</t>
        </is>
      </c>
    </row>
    <row r="7">
      <c r="A7" s="2" t="inlineStr">
        <is>
          <t>Factor</t>
        </is>
      </c>
      <c r="B7" s="2" t="inlineStr">
        <is>
          <t>Weight</t>
        </is>
      </c>
      <c r="C7" s="2" t="inlineStr">
        <is>
          <t>Score column</t>
        </is>
      </c>
    </row>
    <row r="8">
      <c r="A8" t="inlineStr">
        <is>
          <t>Info exposure (nothing student-related online)</t>
        </is>
      </c>
      <c r="B8" s="3" t="n">
        <v>0.4</v>
      </c>
      <c r="C8" t="inlineStr">
        <is>
          <t>L — Info-exposure score</t>
        </is>
      </c>
    </row>
    <row r="9">
      <c r="A9" t="inlineStr">
        <is>
          <t>Website staleness (un-updated is good)</t>
        </is>
      </c>
      <c r="B9" s="3" t="n">
        <v>0.15</v>
      </c>
      <c r="C9" t="inlineStr">
        <is>
          <t>O — Staleness score</t>
        </is>
      </c>
    </row>
    <row r="10">
      <c r="A10" t="inlineStr">
        <is>
          <t>Connectivity (flight + 1-2 hr hop)</t>
        </is>
      </c>
      <c r="B10" s="3" t="n">
        <v>0.15</v>
      </c>
      <c r="C10" t="inlineStr">
        <is>
          <t>Y — Connectivity score</t>
        </is>
      </c>
    </row>
    <row r="11">
      <c r="A11" t="inlineStr">
        <is>
          <t>Distance from Lucknow</t>
        </is>
      </c>
      <c r="B11" s="3" t="n">
        <v>0.1</v>
      </c>
      <c r="C11" t="inlineStr">
        <is>
          <t>J — Distance score</t>
        </is>
      </c>
    </row>
    <row r="12">
      <c r="A12" t="inlineStr">
        <is>
          <t>Fees</t>
        </is>
      </c>
      <c r="B12" s="3" t="n">
        <v>0.1</v>
      </c>
      <c r="C12" t="inlineStr">
        <is>
          <t>U — Fee score</t>
        </is>
      </c>
    </row>
    <row r="13">
      <c r="A13" t="inlineStr">
        <is>
          <t>Hindi spoken</t>
        </is>
      </c>
      <c r="B13" s="3" t="n">
        <v>0.1</v>
      </c>
      <c r="C13" t="inlineStr">
        <is>
          <t>P — Hindi score</t>
        </is>
      </c>
    </row>
    <row r="14">
      <c r="A14" s="4" t="inlineStr">
        <is>
          <t>TOTAL</t>
        </is>
      </c>
      <c r="B14" s="5">
        <f>SUM(B8:B13)</f>
        <v/>
      </c>
    </row>
    <row r="16">
      <c r="A16" t="inlineStr">
        <is>
          <t>NOTE: km and travel times are my estimates from public sources — verify before booking.</t>
        </is>
      </c>
    </row>
    <row r="17">
      <c r="A17" t="inlineStr">
        <is>
          <t>NOTE: bond and PG-quota rules are revised annually. Confirm in the current counselling brochure.</t>
        </is>
      </c>
    </row>
    <row r="18">
      <c r="A18" t="inlineStr">
        <is>
          <t>NOTE: fees are state tuition estimates per year, excluding hostel/mess/caution deposits.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16" customWidth="1" min="4" max="4"/>
    <col width="13" customWidth="1" min="5" max="5"/>
    <col width="12" customWidth="1" min="6" max="6"/>
    <col width="9" customWidth="1" min="7" max="7"/>
    <col width="12" customWidth="1" min="8" max="8"/>
    <col width="12" customWidth="1" min="9" max="9"/>
    <col width="10" customWidth="1" min="10" max="10"/>
    <col width="10" customWidth="1" min="11" max="11"/>
    <col width="12" customWidth="1" min="12" max="12"/>
    <col width="52" customWidth="1" min="13" max="13"/>
    <col width="11" customWidth="1" min="14" max="14"/>
    <col width="10" customWidth="1" min="15" max="15"/>
    <col width="10" customWidth="1" min="16" max="16"/>
    <col width="34" customWidth="1" min="17" max="17"/>
    <col width="12" customWidth="1" min="18" max="18"/>
    <col width="9" customWidth="1" min="19" max="19"/>
    <col width="9" customWidth="1" min="20" max="20"/>
    <col width="9" customWidth="1" min="21" max="21"/>
    <col width="34" customWidth="1" min="22" max="22"/>
    <col width="9" customWidth="1" min="23" max="23"/>
    <col width="13" customWidth="1" min="24" max="24"/>
    <col width="11" customWidth="1" min="25" max="25"/>
    <col width="16" customWidth="1" min="26" max="26"/>
    <col width="34" customWidth="1" min="27" max="27"/>
    <col width="13" customWidth="1" min="28" max="28"/>
  </cols>
  <sheetData>
    <row r="1" ht="46" customHeight="1">
      <c r="A1" s="6" t="inlineStr">
        <is>
          <t>Rank by score</t>
        </is>
      </c>
      <c r="B1" s="6" t="inlineStr">
        <is>
          <t>College</t>
        </is>
      </c>
      <c r="C1" s="6" t="inlineStr">
        <is>
          <t>City</t>
        </is>
      </c>
      <c r="D1" s="6" t="inlineStr">
        <is>
          <t>State</t>
        </is>
      </c>
      <c r="E1" s="6" t="inlineStr">
        <is>
          <t>2026 R1 closing AIR</t>
        </is>
      </c>
      <c r="F1" s="6" t="inlineStr">
        <is>
          <t>2026 opening AIR</t>
        </is>
      </c>
      <c r="G1" s="6" t="inlineStr">
        <is>
          <t>R1 Gen seats</t>
        </is>
      </c>
      <c r="H1" s="6" t="inlineStr">
        <is>
          <t>2025 R1 close</t>
        </is>
      </c>
      <c r="I1" s="6" t="inlineStr">
        <is>
          <t>Km from Lucknow</t>
        </is>
      </c>
      <c r="J1" s="6" t="inlineStr">
        <is>
          <t>Distance score</t>
        </is>
      </c>
      <c r="K1" s="6" t="inlineStr">
        <is>
          <t>Docs opened</t>
        </is>
      </c>
      <c r="L1" s="6" t="inlineStr">
        <is>
          <t>Info-exposure score</t>
        </is>
      </c>
      <c r="M1" s="6" t="inlineStr">
        <is>
          <t>What the site publishes</t>
        </is>
      </c>
      <c r="N1" s="6" t="inlineStr">
        <is>
          <t>Newest year on site</t>
        </is>
      </c>
      <c r="O1" s="6" t="inlineStr">
        <is>
          <t>Staleness score</t>
        </is>
      </c>
      <c r="P1" s="6" t="inlineStr">
        <is>
          <t>Hindi spoken score</t>
        </is>
      </c>
      <c r="Q1" s="6" t="inlineStr">
        <is>
          <t>Hindi note</t>
        </is>
      </c>
      <c r="R1" s="6" t="inlineStr">
        <is>
          <t>Tuition Rs/yr</t>
        </is>
      </c>
      <c r="S1" s="6" t="inlineStr">
        <is>
          <t>Fee band</t>
        </is>
      </c>
      <c r="T1" s="6" t="inlineStr">
        <is>
          <t>Fee doc on site</t>
        </is>
      </c>
      <c r="U1" s="6" t="inlineStr">
        <is>
          <t>Fee score</t>
        </is>
      </c>
      <c r="V1" s="6" t="inlineStr">
        <is>
          <t>Nearest airport</t>
        </is>
      </c>
      <c r="W1" s="6" t="inlineStr">
        <is>
          <t>Airport km</t>
        </is>
      </c>
      <c r="X1" s="6" t="inlineStr">
        <is>
          <t>Airport surface time</t>
        </is>
      </c>
      <c r="Y1" s="6" t="inlineStr">
        <is>
          <t>Connectivity score</t>
        </is>
      </c>
      <c r="Z1" s="6" t="inlineStr">
        <is>
          <t>UG service bond</t>
        </is>
      </c>
      <c r="AA1" s="6" t="inlineStr">
        <is>
          <t>PG state quota for AIQ entrant</t>
        </is>
      </c>
      <c r="AB1" s="6" t="inlineStr">
        <is>
          <t>WEIGHTED SCORE</t>
        </is>
      </c>
    </row>
    <row r="2">
      <c r="A2" s="7">
        <f>RANK(AB2,$AB$2:$AB$9)</f>
        <v/>
      </c>
      <c r="B2" s="7" t="inlineStr">
        <is>
          <t>Shaheed Nirmal Mahto Medical College &amp; Hospital</t>
        </is>
      </c>
      <c r="C2" s="7" t="inlineStr">
        <is>
          <t>Dhanbad</t>
        </is>
      </c>
      <c r="D2" s="7" t="inlineStr">
        <is>
          <t>Jharkhand</t>
        </is>
      </c>
      <c r="E2" s="7" t="n">
        <v>10303</v>
      </c>
      <c r="F2" s="8" t="n">
        <v>8204</v>
      </c>
      <c r="G2" s="8" t="n">
        <v>5</v>
      </c>
      <c r="H2" s="8" t="n">
        <v>9623</v>
      </c>
      <c r="I2" s="8" t="n">
        <v>900</v>
      </c>
      <c r="J2" s="9" t="n">
        <v>3</v>
      </c>
      <c r="K2" s="8" t="n">
        <v>31</v>
      </c>
      <c r="L2" s="10" t="n">
        <v>4</v>
      </c>
      <c r="M2" s="11" t="inlineStr">
        <is>
          <t>No roster. 31 docs opened, no open directories.</t>
        </is>
      </c>
      <c r="N2" s="8" t="inlineStr">
        <is>
          <t>2026</t>
        </is>
      </c>
      <c r="O2" s="9" t="n">
        <v>3</v>
      </c>
      <c r="P2" s="10" t="n">
        <v>5</v>
      </c>
      <c r="Q2" s="11" t="inlineStr">
        <is>
          <t>Hindi is the working language</t>
        </is>
      </c>
      <c r="R2" s="12" t="n">
        <v>40000</v>
      </c>
      <c r="S2" s="8" t="inlineStr">
        <is>
          <t>Low</t>
        </is>
      </c>
      <c r="T2" s="8" t="inlineStr">
        <is>
          <t>N</t>
        </is>
      </c>
      <c r="U2" s="10" t="n">
        <v>5</v>
      </c>
      <c r="V2" s="11" t="inlineStr">
        <is>
          <t>Durgapur (RDP) / Ranchi (IXR)</t>
        </is>
      </c>
      <c r="W2" s="8" t="n">
        <v>90</v>
      </c>
      <c r="X2" s="8" t="inlineStr">
        <is>
          <t>~2 hrs</t>
        </is>
      </c>
      <c r="Y2" s="10" t="n">
        <v>4</v>
      </c>
      <c r="Z2" s="11" t="inlineStr">
        <is>
          <t>Bond applies</t>
        </is>
      </c>
      <c r="AA2" s="11" t="inlineStr">
        <is>
          <t>MBBS-in-state generally qualifies</t>
        </is>
      </c>
      <c r="AB2" s="13">
        <f>L2*'Weights &amp; Method'!$B$8+O2*'Weights &amp; Method'!$B$9+Y2*'Weights &amp; Method'!$B$10+J2*'Weights &amp; Method'!$B$11+U2*'Weights &amp; Method'!$B$12+P2*'Weights &amp; Method'!$B$13</f>
        <v/>
      </c>
    </row>
    <row r="3">
      <c r="A3" s="7">
        <f>RANK(AB3,$AB$2:$AB$9)</f>
        <v/>
      </c>
      <c r="B3" s="8" t="inlineStr">
        <is>
          <t>Government Medical College, Latur</t>
        </is>
      </c>
      <c r="C3" s="8" t="inlineStr">
        <is>
          <t>Latur</t>
        </is>
      </c>
      <c r="D3" s="8" t="inlineStr">
        <is>
          <t>Maharashtra</t>
        </is>
      </c>
      <c r="E3" s="8" t="n">
        <v>13905</v>
      </c>
      <c r="F3" s="8" t="n">
        <v>9885</v>
      </c>
      <c r="G3" s="8" t="n">
        <v>7</v>
      </c>
      <c r="H3" s="8" t="n">
        <v>12233</v>
      </c>
      <c r="I3" s="8" t="n">
        <v>1300</v>
      </c>
      <c r="J3" s="10" t="n">
        <v>5</v>
      </c>
      <c r="K3" s="8" t="n">
        <v>0</v>
      </c>
      <c r="L3" s="10" t="n">
        <v>5</v>
      </c>
      <c r="M3" s="11" t="inlineStr">
        <is>
          <t>Zero documents of any kind on the whole site.</t>
        </is>
      </c>
      <c r="N3" s="8" t="inlineStr">
        <is>
          <t>2026</t>
        </is>
      </c>
      <c r="O3" s="9" t="n">
        <v>3</v>
      </c>
      <c r="P3" s="9" t="n">
        <v>3</v>
      </c>
      <c r="Q3" s="11" t="inlineStr">
        <is>
          <t>Marathi; Hindi widely understood</t>
        </is>
      </c>
      <c r="R3" s="12" t="n">
        <v>85000</v>
      </c>
      <c r="S3" s="8" t="inlineStr">
        <is>
          <t>High</t>
        </is>
      </c>
      <c r="T3" s="8" t="inlineStr">
        <is>
          <t>N</t>
        </is>
      </c>
      <c r="U3" s="14" t="n">
        <v>1</v>
      </c>
      <c r="V3" s="11" t="inlineStr">
        <is>
          <t>Nanded (NDC) / Latur (LTU, limited)</t>
        </is>
      </c>
      <c r="W3" s="8" t="n">
        <v>130</v>
      </c>
      <c r="X3" s="8" t="inlineStr">
        <is>
          <t>~2.5 hrs</t>
        </is>
      </c>
      <c r="Y3" s="14" t="n">
        <v>2</v>
      </c>
      <c r="Z3" s="11" t="inlineStr">
        <is>
          <t>~1 yr bond</t>
        </is>
      </c>
      <c r="AA3" s="11" t="inlineStr">
        <is>
          <t>MBBS-in-state generally qualifies</t>
        </is>
      </c>
      <c r="AB3" s="13">
        <f>L3*'Weights &amp; Method'!$B$8+O3*'Weights &amp; Method'!$B$9+Y3*'Weights &amp; Method'!$B$10+J3*'Weights &amp; Method'!$B$11+U3*'Weights &amp; Method'!$B$12+P3*'Weights &amp; Method'!$B$13</f>
        <v/>
      </c>
    </row>
    <row r="4">
      <c r="A4" s="7">
        <f>RANK(AB4,$AB$2:$AB$9)</f>
        <v/>
      </c>
      <c r="B4" s="8" t="inlineStr">
        <is>
          <t>Government Medical College, Akola</t>
        </is>
      </c>
      <c r="C4" s="8" t="inlineStr">
        <is>
          <t>Akola</t>
        </is>
      </c>
      <c r="D4" s="8" t="inlineStr">
        <is>
          <t>Maharashtra</t>
        </is>
      </c>
      <c r="E4" s="8" t="n">
        <v>13994</v>
      </c>
      <c r="F4" s="8" t="n">
        <v>11441</v>
      </c>
      <c r="G4" s="8" t="n">
        <v>8</v>
      </c>
      <c r="H4" s="8" t="n">
        <v>12815</v>
      </c>
      <c r="I4" s="8" t="n">
        <v>1000</v>
      </c>
      <c r="J4" s="10" t="n">
        <v>4</v>
      </c>
      <c r="K4" s="8" t="n">
        <v>1</v>
      </c>
      <c r="L4" s="10" t="n">
        <v>5</v>
      </c>
      <c r="M4" s="11" t="inlineStr">
        <is>
          <t>Docs behind api.gmcakola.in — store empty on every parameter.</t>
        </is>
      </c>
      <c r="N4" s="8" t="inlineStr">
        <is>
          <t>2026</t>
        </is>
      </c>
      <c r="O4" s="10" t="n">
        <v>5</v>
      </c>
      <c r="P4" s="9" t="n">
        <v>3</v>
      </c>
      <c r="Q4" s="11" t="inlineStr">
        <is>
          <t>Marathi; Hindi widely understood</t>
        </is>
      </c>
      <c r="R4" s="12" t="n">
        <v>85000</v>
      </c>
      <c r="S4" s="8" t="inlineStr">
        <is>
          <t>High</t>
        </is>
      </c>
      <c r="T4" s="8" t="inlineStr">
        <is>
          <t>N</t>
        </is>
      </c>
      <c r="U4" s="14" t="n">
        <v>1</v>
      </c>
      <c r="V4" s="11" t="inlineStr">
        <is>
          <t>Nagpur (NAG)</t>
        </is>
      </c>
      <c r="W4" s="8" t="n">
        <v>250</v>
      </c>
      <c r="X4" s="8" t="inlineStr">
        <is>
          <t>~4.5 hrs</t>
        </is>
      </c>
      <c r="Y4" s="14" t="n">
        <v>1</v>
      </c>
      <c r="Z4" s="11" t="inlineStr">
        <is>
          <t>~1 yr bond</t>
        </is>
      </c>
      <c r="AA4" s="11" t="inlineStr">
        <is>
          <t>MBBS-in-state generally qualifies</t>
        </is>
      </c>
      <c r="AB4" s="13">
        <f>L4*'Weights &amp; Method'!$B$8+O4*'Weights &amp; Method'!$B$9+Y4*'Weights &amp; Method'!$B$10+J4*'Weights &amp; Method'!$B$11+U4*'Weights &amp; Method'!$B$12+P4*'Weights &amp; Method'!$B$13</f>
        <v/>
      </c>
    </row>
    <row r="5">
      <c r="A5" s="7">
        <f>RANK(AB5,$AB$2:$AB$9)</f>
        <v/>
      </c>
      <c r="B5" s="8" t="inlineStr">
        <is>
          <t>Swami Ramanand Teerth Rural Medical College, Ambajogai</t>
        </is>
      </c>
      <c r="C5" s="8" t="inlineStr">
        <is>
          <t>Ambajogai</t>
        </is>
      </c>
      <c r="D5" s="8" t="inlineStr">
        <is>
          <t>Maharashtra</t>
        </is>
      </c>
      <c r="E5" s="8" t="n">
        <v>14470</v>
      </c>
      <c r="F5" s="8" t="n">
        <v>12368</v>
      </c>
      <c r="G5" s="8" t="n">
        <v>6</v>
      </c>
      <c r="H5" s="8" t="n">
        <v>12681</v>
      </c>
      <c r="I5" s="8" t="n">
        <v>1250</v>
      </c>
      <c r="J5" s="10" t="n">
        <v>4</v>
      </c>
      <c r="K5" s="8" t="n">
        <v>388</v>
      </c>
      <c r="L5" s="9" t="n">
        <v>3</v>
      </c>
      <c r="M5" s="11" t="inlineStr">
        <is>
          <t>388 docs opened. MUHS disclosure filings only (faculty/beds/dean).</t>
        </is>
      </c>
      <c r="N5" s="8" t="inlineStr">
        <is>
          <t>2026</t>
        </is>
      </c>
      <c r="O5" s="9" t="n">
        <v>3</v>
      </c>
      <c r="P5" s="9" t="n">
        <v>3</v>
      </c>
      <c r="Q5" s="11" t="inlineStr">
        <is>
          <t>Marathi; Hindi understood</t>
        </is>
      </c>
      <c r="R5" s="12" t="n">
        <v>85000</v>
      </c>
      <c r="S5" s="8" t="inlineStr">
        <is>
          <t>High</t>
        </is>
      </c>
      <c r="T5" s="8" t="inlineStr">
        <is>
          <t>Y</t>
        </is>
      </c>
      <c r="U5" s="14" t="n">
        <v>1</v>
      </c>
      <c r="V5" s="11" t="inlineStr">
        <is>
          <t>Nanded (NDC) / Latur (LTU, limited)</t>
        </is>
      </c>
      <c r="W5" s="8" t="n">
        <v>90</v>
      </c>
      <c r="X5" s="8" t="inlineStr">
        <is>
          <t>~2 hrs</t>
        </is>
      </c>
      <c r="Y5" s="14" t="n">
        <v>2</v>
      </c>
      <c r="Z5" s="11" t="inlineStr">
        <is>
          <t>~1 yr bond</t>
        </is>
      </c>
      <c r="AA5" s="11" t="inlineStr">
        <is>
          <t>MBBS-in-state generally qualifies</t>
        </is>
      </c>
      <c r="AB5" s="13">
        <f>L5*'Weights &amp; Method'!$B$8+O5*'Weights &amp; Method'!$B$9+Y5*'Weights &amp; Method'!$B$10+J5*'Weights &amp; Method'!$B$11+U5*'Weights &amp; Method'!$B$12+P5*'Weights &amp; Method'!$B$13</f>
        <v/>
      </c>
    </row>
    <row r="6">
      <c r="A6" s="7">
        <f>RANK(AB6,$AB$2:$AB$9)</f>
        <v/>
      </c>
      <c r="B6" s="8" t="inlineStr">
        <is>
          <t>Government Medical College, Chandrapur</t>
        </is>
      </c>
      <c r="C6" s="8" t="inlineStr">
        <is>
          <t>Chandrapur</t>
        </is>
      </c>
      <c r="D6" s="8" t="inlineStr">
        <is>
          <t>Maharashtra</t>
        </is>
      </c>
      <c r="E6" s="8" t="n">
        <v>15048</v>
      </c>
      <c r="F6" s="8" t="n">
        <v>8176</v>
      </c>
      <c r="G6" s="8" t="n">
        <v>7</v>
      </c>
      <c r="H6" s="8" t="n">
        <v>12027</v>
      </c>
      <c r="I6" s="8" t="n">
        <v>1050</v>
      </c>
      <c r="J6" s="10" t="n">
        <v>4</v>
      </c>
      <c r="K6" s="8" t="n">
        <v>186</v>
      </c>
      <c r="L6" s="9" t="n">
        <v>3</v>
      </c>
      <c r="M6" s="11" t="inlineStr">
        <is>
          <t>186 docs opened. Flags were a Marathi circular + library journal list.</t>
        </is>
      </c>
      <c r="N6" s="8" t="inlineStr">
        <is>
          <t>2026</t>
        </is>
      </c>
      <c r="O6" s="9" t="n">
        <v>3</v>
      </c>
      <c r="P6" s="9" t="n">
        <v>3</v>
      </c>
      <c r="Q6" s="11" t="inlineStr">
        <is>
          <t>Marathi/Hindi belt; Hindi common</t>
        </is>
      </c>
      <c r="R6" s="12" t="n">
        <v>85000</v>
      </c>
      <c r="S6" s="8" t="inlineStr">
        <is>
          <t>High</t>
        </is>
      </c>
      <c r="T6" s="8" t="inlineStr">
        <is>
          <t>N</t>
        </is>
      </c>
      <c r="U6" s="14" t="n">
        <v>1</v>
      </c>
      <c r="V6" s="11" t="inlineStr">
        <is>
          <t>Nagpur (NAG)</t>
        </is>
      </c>
      <c r="W6" s="8" t="n">
        <v>150</v>
      </c>
      <c r="X6" s="8" t="inlineStr">
        <is>
          <t>~3 hrs</t>
        </is>
      </c>
      <c r="Y6" s="14" t="n">
        <v>2</v>
      </c>
      <c r="Z6" s="11" t="inlineStr">
        <is>
          <t>~1 yr bond</t>
        </is>
      </c>
      <c r="AA6" s="11" t="inlineStr">
        <is>
          <t>MBBS-in-state generally qualifies</t>
        </is>
      </c>
      <c r="AB6" s="13">
        <f>L6*'Weights &amp; Method'!$B$8+O6*'Weights &amp; Method'!$B$9+Y6*'Weights &amp; Method'!$B$10+J6*'Weights &amp; Method'!$B$11+U6*'Weights &amp; Method'!$B$12+P6*'Weights &amp; Method'!$B$13</f>
        <v/>
      </c>
    </row>
    <row r="7">
      <c r="A7" s="7">
        <f>RANK(AB7,$AB$2:$AB$9)</f>
        <v/>
      </c>
      <c r="B7" s="8" t="inlineStr">
        <is>
          <t>Government Medical College, Seoni</t>
        </is>
      </c>
      <c r="C7" s="8" t="inlineStr">
        <is>
          <t>Seoni</t>
        </is>
      </c>
      <c r="D7" s="8" t="inlineStr">
        <is>
          <t>Madhya Pradesh</t>
        </is>
      </c>
      <c r="E7" s="8" t="n">
        <v>15877</v>
      </c>
      <c r="F7" s="8" t="n">
        <v>11893</v>
      </c>
      <c r="G7" s="8" t="n">
        <v>7</v>
      </c>
      <c r="H7" s="8" t="n">
        <v>12759</v>
      </c>
      <c r="I7" s="8" t="n">
        <v>800</v>
      </c>
      <c r="J7" s="9" t="n">
        <v>3</v>
      </c>
      <c r="K7" s="8" t="n">
        <v>107</v>
      </c>
      <c r="L7" s="10" t="n">
        <v>4</v>
      </c>
      <c r="M7" s="11" t="inlineStr">
        <is>
          <t>107 docs opened. Only flag was faculty/resident AEBAS attendance.</t>
        </is>
      </c>
      <c r="N7" s="8" t="inlineStr">
        <is>
          <t>2026</t>
        </is>
      </c>
      <c r="O7" s="9" t="n">
        <v>3</v>
      </c>
      <c r="P7" s="10" t="n">
        <v>5</v>
      </c>
      <c r="Q7" s="11" t="inlineStr">
        <is>
          <t>Hindi is the state language</t>
        </is>
      </c>
      <c r="R7" s="12" t="n">
        <v>80000</v>
      </c>
      <c r="S7" s="8" t="inlineStr">
        <is>
          <t>High</t>
        </is>
      </c>
      <c r="T7" s="8" t="inlineStr">
        <is>
          <t>N</t>
        </is>
      </c>
      <c r="U7" s="14" t="n">
        <v>2</v>
      </c>
      <c r="V7" s="11" t="inlineStr">
        <is>
          <t>Nagpur (NAG) / Jabalpur (JLR)</t>
        </is>
      </c>
      <c r="W7" s="8" t="n">
        <v>130</v>
      </c>
      <c r="X7" s="8" t="inlineStr">
        <is>
          <t>~2.5 hrs</t>
        </is>
      </c>
      <c r="Y7" s="9" t="n">
        <v>3</v>
      </c>
      <c r="Z7" s="11" t="inlineStr">
        <is>
          <t>~1 yr bond</t>
        </is>
      </c>
      <c r="AA7" s="11" t="inlineStr">
        <is>
          <t>MBBS-in-state generally qualifies</t>
        </is>
      </c>
      <c r="AB7" s="13">
        <f>L7*'Weights &amp; Method'!$B$8+O7*'Weights &amp; Method'!$B$9+Y7*'Weights &amp; Method'!$B$10+J7*'Weights &amp; Method'!$B$11+U7*'Weights &amp; Method'!$B$12+P7*'Weights &amp; Method'!$B$13</f>
        <v/>
      </c>
    </row>
    <row r="8">
      <c r="A8" s="7">
        <f>RANK(AB8,$AB$2:$AB$9)</f>
        <v/>
      </c>
      <c r="B8" s="8" t="inlineStr">
        <is>
          <t>Government Medical College, Ratnagiri</t>
        </is>
      </c>
      <c r="C8" s="8" t="inlineStr">
        <is>
          <t>Ratnagiri</t>
        </is>
      </c>
      <c r="D8" s="8" t="inlineStr">
        <is>
          <t>Maharashtra</t>
        </is>
      </c>
      <c r="E8" s="8" t="n">
        <v>16082</v>
      </c>
      <c r="F8" s="8" t="n">
        <v>15646</v>
      </c>
      <c r="G8" s="8" t="n">
        <v>2</v>
      </c>
      <c r="H8" s="8" t="n">
        <v>12093</v>
      </c>
      <c r="I8" s="8" t="n">
        <v>1500</v>
      </c>
      <c r="J8" s="10" t="n">
        <v>5</v>
      </c>
      <c r="K8" s="8" t="n">
        <v>75</v>
      </c>
      <c r="L8" s="10" t="n">
        <v>4</v>
      </c>
      <c r="M8" s="11" t="inlineStr">
        <is>
          <t>75 docs opened. Flags were admission brochures with blank fields.</t>
        </is>
      </c>
      <c r="N8" s="8" t="inlineStr">
        <is>
          <t>2026</t>
        </is>
      </c>
      <c r="O8" s="9" t="n">
        <v>3</v>
      </c>
      <c r="P8" s="9" t="n">
        <v>3</v>
      </c>
      <c r="Q8" s="11" t="inlineStr">
        <is>
          <t>Marathi; Hindi less common in Konkan</t>
        </is>
      </c>
      <c r="R8" s="12" t="n">
        <v>85000</v>
      </c>
      <c r="S8" s="8" t="inlineStr">
        <is>
          <t>High</t>
        </is>
      </c>
      <c r="T8" s="8" t="inlineStr">
        <is>
          <t>Y</t>
        </is>
      </c>
      <c r="U8" s="14" t="n">
        <v>1</v>
      </c>
      <c r="V8" s="11" t="inlineStr">
        <is>
          <t>Kolhapur (KLH) / Ratnagiri (RTC, limited)</t>
        </is>
      </c>
      <c r="W8" s="8" t="n">
        <v>130</v>
      </c>
      <c r="X8" s="8" t="inlineStr">
        <is>
          <t>~3 hrs</t>
        </is>
      </c>
      <c r="Y8" s="14" t="n">
        <v>2</v>
      </c>
      <c r="Z8" s="11" t="inlineStr">
        <is>
          <t>~1 yr bond</t>
        </is>
      </c>
      <c r="AA8" s="11" t="inlineStr">
        <is>
          <t>MBBS-in-state generally qualifies</t>
        </is>
      </c>
      <c r="AB8" s="13">
        <f>L8*'Weights &amp; Method'!$B$8+O8*'Weights &amp; Method'!$B$9+Y8*'Weights &amp; Method'!$B$10+J8*'Weights &amp; Method'!$B$11+U8*'Weights &amp; Method'!$B$12+P8*'Weights &amp; Method'!$B$13</f>
        <v/>
      </c>
    </row>
    <row r="9">
      <c r="A9" s="7">
        <f>RANK(AB9,$AB$2:$AB$9)</f>
        <v/>
      </c>
      <c r="B9" s="8" t="inlineStr">
        <is>
          <t>Government Medical College, Bhandara</t>
        </is>
      </c>
      <c r="C9" s="8" t="inlineStr">
        <is>
          <t>Bhandara</t>
        </is>
      </c>
      <c r="D9" s="8" t="inlineStr">
        <is>
          <t>Maharashtra</t>
        </is>
      </c>
      <c r="E9" s="8" t="n">
        <v>18616</v>
      </c>
      <c r="F9" s="8" t="n">
        <v>16568</v>
      </c>
      <c r="G9" s="8" t="n">
        <v>5</v>
      </c>
      <c r="H9" s="8" t="n">
        <v>12648</v>
      </c>
      <c r="I9" s="8" t="n">
        <v>1000</v>
      </c>
      <c r="J9" s="10" t="n">
        <v>4</v>
      </c>
      <c r="K9" s="8" t="n">
        <v>25</v>
      </c>
      <c r="L9" s="10" t="n">
        <v>4</v>
      </c>
      <c r="M9" s="11" t="inlineStr">
        <is>
          <t>116-path battery + 25 docs. Flags were admission instruction brochures.</t>
        </is>
      </c>
      <c r="N9" s="8" t="inlineStr">
        <is>
          <t>2026</t>
        </is>
      </c>
      <c r="O9" s="9" t="n">
        <v>3</v>
      </c>
      <c r="P9" s="9" t="n">
        <v>3</v>
      </c>
      <c r="Q9" s="11" t="inlineStr">
        <is>
          <t>Marathi/Hindi belt; Hindi common</t>
        </is>
      </c>
      <c r="R9" s="12" t="n">
        <v>85000</v>
      </c>
      <c r="S9" s="8" t="inlineStr">
        <is>
          <t>High</t>
        </is>
      </c>
      <c r="T9" s="8" t="inlineStr">
        <is>
          <t>Y</t>
        </is>
      </c>
      <c r="U9" s="14" t="n">
        <v>1</v>
      </c>
      <c r="V9" s="11" t="inlineStr">
        <is>
          <t>Nagpur (NAG)</t>
        </is>
      </c>
      <c r="W9" s="8" t="n">
        <v>60</v>
      </c>
      <c r="X9" s="8" t="inlineStr">
        <is>
          <t>~1.5 hrs</t>
        </is>
      </c>
      <c r="Y9" s="10" t="n">
        <v>5</v>
      </c>
      <c r="Z9" s="11" t="inlineStr">
        <is>
          <t>~1 yr bond</t>
        </is>
      </c>
      <c r="AA9" s="11" t="inlineStr">
        <is>
          <t>MBBS-in-state generally qualifies</t>
        </is>
      </c>
      <c r="AB9" s="13">
        <f>L9*'Weights &amp; Method'!$B$8+O9*'Weights &amp; Method'!$B$9+Y9*'Weights &amp; Method'!$B$10+J9*'Weights &amp; Method'!$B$11+U9*'Weights &amp; Method'!$B$12+P9*'Weights &amp; Method'!$B$13</f>
        <v/>
      </c>
    </row>
    <row r="11">
      <c r="B11" s="4" t="inlineStr">
        <is>
          <t>Only Dhanbad (10,303) closes inside your 8,000-13,000 band. The rest close 900-5,600 ranks beyond it,</t>
        </is>
      </c>
    </row>
    <row r="12">
      <c r="B12" t="inlineStr">
        <is>
          <t>which means they are reachable with headroom at that rank, not out of reach.</t>
        </is>
      </c>
    </row>
    <row r="14">
      <c r="B14" t="inlineStr">
        <is>
          <t>Jammu &amp; Kashmir removed per your instruction (GMC Baramulla, closing 17,201, was otherwise clean).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96" customWidth="1" min="3" max="3"/>
    <col width="60" customWidth="1" min="4" max="4"/>
  </cols>
  <sheetData>
    <row r="1">
      <c r="A1" s="2" t="inlineStr">
        <is>
          <t>College</t>
        </is>
      </c>
      <c r="B1" s="2" t="inlineStr">
        <is>
          <t>Host</t>
        </is>
      </c>
      <c r="C1" s="2" t="inlineStr">
        <is>
          <t>What was checked</t>
        </is>
      </c>
      <c r="D1" s="2" t="inlineStr">
        <is>
          <t>Verdict</t>
        </is>
      </c>
    </row>
    <row r="2">
      <c r="A2" s="11" t="inlineStr">
        <is>
          <t>Dhanbad</t>
        </is>
      </c>
      <c r="B2" s="11" t="inlineStr">
        <is>
          <t>www.snmmcdhn.org</t>
        </is>
      </c>
      <c r="C2" s="11" t="inlineStr">
        <is>
          <t>88 URLs crawled, 31 docs opened, recursive open-dir walk found NO open directories, 35 fixed disclosure paths probed</t>
        </is>
      </c>
      <c r="D2" s="11" t="inlineStr">
        <is>
          <t>Clean. Least-checked of the list — worth your own spot-check.</t>
        </is>
      </c>
    </row>
    <row r="3">
      <c r="A3" s="11" t="inlineStr">
        <is>
          <t>Latur</t>
        </is>
      </c>
      <c r="B3" s="11" t="inlineStr">
        <is>
          <t>gmclatur.org</t>
        </is>
      </c>
      <c r="C3" s="11" t="inlineStr">
        <is>
          <t>17 URLs = full coverage of an 11-page brochure site. Zero documents. Re-walk: no open dirs.</t>
        </is>
      </c>
      <c r="D3" s="11" t="inlineStr">
        <is>
          <t>Clean. Verified the 17-URL crawl is complete, not shallow.</t>
        </is>
      </c>
    </row>
    <row r="4">
      <c r="A4" s="11" t="inlineStr">
        <is>
          <t>Akola</t>
        </is>
      </c>
      <c r="B4" s="11" t="inlineStr">
        <is>
          <t>gmcakola.in</t>
        </is>
      </c>
      <c r="C4" s="11" t="inlineStr">
        <is>
          <t>Docs served from api.gmcakola.in/api/Auth/get-all-WithoutAuth. Enumerated Type 0-12 x IsWeb true/false: empty on all.</t>
        </is>
      </c>
      <c r="D4" s="11" t="inlineStr">
        <is>
          <t>Clean, confirmed at the source rather than by absent evidence.</t>
        </is>
      </c>
    </row>
    <row r="5">
      <c r="A5" s="11" t="inlineStr">
        <is>
          <t>Ambajogai</t>
        </is>
      </c>
      <c r="B5" s="11" t="inlineStr">
        <is>
          <t>srtrmca.org</t>
        </is>
      </c>
      <c r="C5" s="11" t="inlineStr">
        <is>
          <t>56 URLs, 388 docs opened. 3 flags = MUHS mandatory-disclosure filings; 2025-26 one is an unfilled template.</t>
        </is>
      </c>
      <c r="D5" s="11" t="inlineStr">
        <is>
          <t>Clean. Large doc surface but no rosters.</t>
        </is>
      </c>
    </row>
    <row r="6">
      <c r="A6" s="11" t="inlineStr">
        <is>
          <t>Chandrapur</t>
        </is>
      </c>
      <c r="B6" s="11" t="inlineStr">
        <is>
          <t>gmcchandrapur.org</t>
        </is>
      </c>
      <c r="C6" s="11" t="inlineStr">
        <is>
          <t>83 URLs, 186 docs opened. 2 flags = Marathi circular + library journal subscription list.</t>
        </is>
      </c>
      <c r="D6" s="11" t="inlineStr">
        <is>
          <t>Clean.</t>
        </is>
      </c>
    </row>
    <row r="7">
      <c r="A7" s="11" t="inlineStr">
        <is>
          <t>Seoni</t>
        </is>
      </c>
      <c r="B7" s="11" t="inlineStr">
        <is>
          <t>gmcseoni.edu.in</t>
        </is>
      </c>
      <c r="C7" s="11" t="inlineStr">
        <is>
          <t>95 URLs, 107 docs opened. 1 flag = faculty/resident AEBAS attendance (professor x51, resident x28).</t>
        </is>
      </c>
      <c r="D7" s="11" t="inlineStr">
        <is>
          <t>Clean.</t>
        </is>
      </c>
    </row>
    <row r="8">
      <c r="A8" s="11" t="inlineStr">
        <is>
          <t>Ratnagiri</t>
        </is>
      </c>
      <c r="B8" s="11" t="inlineStr">
        <is>
          <t>gmcratnagiri.in</t>
        </is>
      </c>
      <c r="C8" s="11" t="inlineStr">
        <is>
          <t>110 URLs, 75 docs opened. 3 flags = admission guideline brochures with blank signature/father fields.</t>
        </is>
      </c>
      <c r="D8" s="11" t="inlineStr">
        <is>
          <t>Clean.</t>
        </is>
      </c>
    </row>
    <row r="9">
      <c r="A9" s="11" t="inlineStr">
        <is>
          <t>Bhandara</t>
        </is>
      </c>
      <c r="B9" s="11" t="inlineStr">
        <is>
          <t>gmcbhandara.edu.in</t>
        </is>
      </c>
      <c r="C9" s="11" t="inlineStr">
        <is>
          <t>116 fixed paths + 110-page best-of-N crawl earlier; 25 docs opened now. 2 flags = admission instruction brochures.</t>
        </is>
      </c>
      <c r="D9" s="11" t="inlineStr">
        <is>
          <t>Clean. Most deeply checked on the list.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18" customWidth="1" min="3" max="3"/>
    <col width="52" customWidth="1" min="4" max="4"/>
    <col width="62" customWidth="1" min="5" max="5"/>
  </cols>
  <sheetData>
    <row r="1">
      <c r="A1" s="2" t="inlineStr">
        <is>
          <t>2026 R1 close</t>
        </is>
      </c>
      <c r="B1" s="2" t="inlineStr">
        <is>
          <t>College</t>
        </is>
      </c>
      <c r="C1" s="2" t="inlineStr">
        <is>
          <t>State</t>
        </is>
      </c>
      <c r="D1" s="2" t="inlineStr">
        <is>
          <t>Where</t>
        </is>
      </c>
      <c r="E1" s="2" t="inlineStr">
        <is>
          <t>What is exposed</t>
        </is>
      </c>
    </row>
    <row r="2">
      <c r="A2" s="11" t="n">
        <v>11791</v>
      </c>
      <c r="B2" s="15" t="inlineStr">
        <is>
          <t>GMC Shivpuri</t>
        </is>
      </c>
      <c r="C2" s="11" t="inlineStr">
        <is>
          <t>Madhya Pradesh</t>
        </is>
      </c>
      <c r="D2" s="11" t="inlineStr">
        <is>
          <t>files/BATCH 2023-24.pdf, BATCH 2024-25.pdf</t>
        </is>
      </c>
      <c r="E2" s="11" t="inlineStr">
        <is>
          <t>Name of Student + NEET percentile, serial rows</t>
        </is>
      </c>
    </row>
    <row r="3">
      <c r="A3" s="11" t="n">
        <v>13813</v>
      </c>
      <c r="B3" s="15" t="inlineStr">
        <is>
          <t>Lt. L.A.M. GMC Raigarh</t>
        </is>
      </c>
      <c r="C3" s="11" t="inlineStr">
        <is>
          <t>Chhattisgarh</t>
        </is>
      </c>
      <c r="D3" s="11" t="inlineStr">
        <is>
          <t>storage/grievances.csv, storage/feedback.csv</t>
        </is>
      </c>
      <c r="E3" s="11" t="inlineStr">
        <is>
          <t>4 records marked Confidential=Yes with name, email, phone, complaint text</t>
        </is>
      </c>
    </row>
    <row r="4">
      <c r="A4" s="11" t="n">
        <v>15154</v>
      </c>
      <c r="B4" s="15" t="inlineStr">
        <is>
          <t>VNGMC Yavatmal</t>
        </is>
      </c>
      <c r="C4" s="11" t="inlineStr">
        <is>
          <t>Maharashtra</t>
        </is>
      </c>
      <c r="D4" s="11" t="inlineStr">
        <is>
          <t>studentsection/U2015,U2016,U2019,U2020.pdf + 7 exam results</t>
        </is>
      </c>
      <c r="E4" s="11" t="inlineStr">
        <is>
          <t>Name of the Student / M-F / Date of admission / reservation Category</t>
        </is>
      </c>
    </row>
    <row r="5">
      <c r="A5" s="11" t="n">
        <v>17028</v>
      </c>
      <c r="B5" s="15" t="inlineStr">
        <is>
          <t>GMC Ongole</t>
        </is>
      </c>
      <c r="C5" s="11" t="inlineStr">
        <is>
          <t>Andhra Pradesh</t>
        </is>
      </c>
      <c r="D5" s="11" t="inlineStr">
        <is>
          <t>UG-STUDENTS-LIST-2022-BATCH.pdf + 12 more</t>
        </is>
      </c>
      <c r="E5" s="11" t="inlineStr">
        <is>
          <t>Name + roll number + 10-digit mobile; monthly PG stipend lists</t>
        </is>
      </c>
    </row>
    <row r="6">
      <c r="A6" s="11" t="n">
        <v>7384</v>
      </c>
      <c r="B6" s="15" t="inlineStr">
        <is>
          <t>GMC Baramati</t>
        </is>
      </c>
      <c r="C6" s="11" t="inlineStr">
        <is>
          <t>Maharashtra</t>
        </is>
      </c>
      <c r="D6" s="11" t="inlineStr">
        <is>
          <t>brcp/studet_list_mbbs/ (3 files)</t>
        </is>
      </c>
      <c r="E6" s="11" t="inlineStr">
        <is>
          <t>Batch 2020-21, 2021-22, 2022-23. Also closes below your band.</t>
        </is>
      </c>
    </row>
    <row r="7">
      <c r="A7" s="11" t="inlineStr">
        <is>
          <t>not allotted in R1</t>
        </is>
      </c>
      <c r="B7" s="15" t="inlineStr">
        <is>
          <t>Medinirai MC, Palamu</t>
        </is>
      </c>
      <c r="C7" s="11" t="inlineStr">
        <is>
          <t>Jharkhand</t>
        </is>
      </c>
      <c r="D7" s="11" t="inlineStr">
        <is>
          <t>Student-List-25-26.pdf, MBBS-BATCH-2023.pdf, Student-List-2019.pdf</t>
        </is>
      </c>
      <c r="E7" s="11" t="inlineStr">
        <is>
          <t>CURRENT intake published. 89 and 86 row lists.</t>
        </is>
      </c>
    </row>
    <row r="8">
      <c r="A8" s="11" t="n">
        <v>12178</v>
      </c>
      <c r="B8" s="15" t="inlineStr">
        <is>
          <t>GMC Jalgaon</t>
        </is>
      </c>
      <c r="C8" s="11" t="inlineStr">
        <is>
          <t>Maharashtra</t>
        </is>
      </c>
      <c r="D8" s="11" t="inlineStr">
        <is>
          <t>assets/pdf/admission/ug/UG Data-2025-26.pdf</t>
        </is>
      </c>
      <c r="E8" s="11" t="inlineStr">
        <is>
          <t>Current 2025-26 intake, 2.2 MB scan</t>
        </is>
      </c>
    </row>
    <row r="9">
      <c r="A9" s="11" t="n">
        <v>9749</v>
      </c>
      <c r="B9" s="15" t="inlineStr">
        <is>
          <t>GMC Nashik</t>
        </is>
      </c>
      <c r="C9" s="11" t="inlineStr">
        <is>
          <t>Maharashtra</t>
        </is>
      </c>
      <c r="D9" s="11" t="inlineStr">
        <is>
          <t>NMC Information page</t>
        </is>
      </c>
      <c r="E9" s="11" t="inlineStr">
        <is>
          <t>Roster page behind non-matching link text</t>
        </is>
      </c>
    </row>
    <row r="10">
      <c r="A10" s="11" t="n">
        <v>10855</v>
      </c>
      <c r="B10" s="15" t="inlineStr">
        <is>
          <t>COM &amp; JNM Hospital, Kalyani</t>
        </is>
      </c>
      <c r="C10" s="11" t="inlineStr">
        <is>
          <t>West Bengal</t>
        </is>
      </c>
      <c r="D10" s="11" t="inlineStr">
        <is>
          <t>assets/pdf/&lt;hash&gt;.pdf</t>
        </is>
      </c>
      <c r="E10" s="11" t="inlineStr">
        <is>
          <t>Hash-named roster PDF</t>
        </is>
      </c>
    </row>
    <row r="11">
      <c r="A11" s="11" t="n">
        <v>8626</v>
      </c>
      <c r="B11" s="15" t="inlineStr">
        <is>
          <t>COM &amp; Sagore Dutta Hospital</t>
        </is>
      </c>
      <c r="C11" s="11" t="inlineStr">
        <is>
          <t>West Bengal</t>
        </is>
      </c>
      <c r="D11" s="11" t="inlineStr">
        <is>
          <t>class + full batch lists</t>
        </is>
      </c>
      <c r="E11" s="11" t="inlineStr">
        <is>
          <t>Slow server hid them at short timeouts</t>
        </is>
      </c>
    </row>
    <row r="12">
      <c r="A12" s="11" t="n">
        <v>9122</v>
      </c>
      <c r="B12" s="15" t="inlineStr">
        <is>
          <t>Kakatiya MC, Warangal</t>
        </is>
      </c>
      <c r="C12" s="11" t="inlineStr">
        <is>
          <t>Telangana</t>
        </is>
      </c>
      <c r="D12" s="11" t="inlineStr">
        <is>
          <t>CSV data files, 5 sessions incl. 2025-26</t>
        </is>
      </c>
      <c r="E12" s="11" t="inlineStr">
        <is>
          <t>Name paired with NEET RANK — most severe find of the audit</t>
        </is>
      </c>
    </row>
    <row r="13">
      <c r="A13" s="11" t="n">
        <v>10873</v>
      </c>
      <c r="B13" s="15" t="inlineStr">
        <is>
          <t>GMC The Nilgiris</t>
        </is>
      </c>
      <c r="C13" s="11" t="inlineStr">
        <is>
          <t>Tamil Nadu</t>
        </is>
      </c>
      <c r="D13" s="11" t="inlineStr">
        <is>
          <t>batch-2025-26-list-of-students.pdf</t>
        </is>
      </c>
      <c r="E13" s="11" t="inlineStr">
        <is>
          <t>Current intake</t>
        </is>
      </c>
    </row>
    <row r="14">
      <c r="A14" s="11" t="n">
        <v>12751</v>
      </c>
      <c r="B14" s="15" t="inlineStr">
        <is>
          <t>GMC Datia</t>
        </is>
      </c>
      <c r="C14" s="11" t="inlineStr">
        <is>
          <t>Madhya Pradesh</t>
        </is>
      </c>
      <c r="D14" s="11" t="inlineStr">
        <is>
          <t>B.1.11 disclosure page</t>
        </is>
      </c>
      <c r="E14" s="11" t="inlineStr">
        <is>
          <t>batch2025, 136 rows</t>
        </is>
      </c>
    </row>
    <row r="15">
      <c r="A15" s="11" t="n">
        <v>10313</v>
      </c>
      <c r="B15" s="15" t="inlineStr">
        <is>
          <t>GMC Jhunjhunu</t>
        </is>
      </c>
      <c r="C15" s="11" t="inlineStr">
        <is>
          <t>Rajasthan</t>
        </is>
      </c>
      <c r="D15" s="11" t="inlineStr">
        <is>
          <t>Scribd re-host</t>
        </is>
      </c>
      <c r="E15" s="11" t="inlineStr">
        <is>
          <t>100 students, names + fathers names</t>
        </is>
      </c>
    </row>
    <row r="16">
      <c r="A16" s="11" t="n">
        <v>8812</v>
      </c>
      <c r="B16" s="15" t="inlineStr">
        <is>
          <t>NAMO Silvassa</t>
        </is>
      </c>
      <c r="C16" s="11" t="inlineStr">
        <is>
          <t>DNH &amp; DD</t>
        </is>
      </c>
      <c r="D16" s="11" t="inlineStr">
        <is>
          <t>5 batch PDFs</t>
        </is>
      </c>
      <c r="E16" s="11" t="inlineStr">
        <is>
          <t>Self-hosted</t>
        </is>
      </c>
    </row>
    <row r="17">
      <c r="A17" s="11" t="n">
        <v>9265</v>
      </c>
      <c r="B17" s="15" t="inlineStr">
        <is>
          <t>S V Medical College, Tirupati</t>
        </is>
      </c>
      <c r="C17" s="11" t="inlineStr">
        <is>
          <t>Andhra Pradesh</t>
        </is>
      </c>
      <c r="D17" s="11" t="inlineStr">
        <is>
          <t>B.1.11 page</t>
        </is>
      </c>
      <c r="E17" s="11" t="inlineStr">
        <is>
          <t>240 rows against 240 sanctioned seats</t>
        </is>
      </c>
    </row>
    <row r="18">
      <c r="A18" s="11" t="n">
        <v>9640</v>
      </c>
      <c r="B18" s="15" t="inlineStr">
        <is>
          <t>Hassan Inst. of Medical Sciences</t>
        </is>
      </c>
      <c r="C18" s="11" t="inlineStr">
        <is>
          <t>Karnataka</t>
        </is>
      </c>
      <c r="D18" s="11" t="inlineStr">
        <is>
          <t>Scribd re-host</t>
        </is>
      </c>
      <c r="E18" s="11" t="inlineStr">
        <is>
          <t>2014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2026-08-20T19:03:40Z</dcterms:created>
  <dcterms:modified xsi:type="dcterms:W3CDTF">2026-08-20T19:03:40Z</dcterms:modified>
</cp:coreProperties>
</file>